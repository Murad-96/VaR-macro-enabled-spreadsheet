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filterPrivacy="1" codeName="ThisWorkbook" defaultThemeVersion="124226"/>
  <xr:revisionPtr revIDLastSave="0" documentId="13_ncr:1_{EBA1CCA2-101F-4EAA-AA63-2B86D12385B6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arketData" sheetId="2" r:id="rId1"/>
  </sheets>
  <functionGroups builtInGroupCount="19"/>
  <definedNames>
    <definedName name="DATE_1">MarketData!$B$3</definedName>
    <definedName name="DATE_10">MarketData!$B$12</definedName>
    <definedName name="DATE_2">MarketData!$B$4</definedName>
    <definedName name="DATE_3">MarketData!$B$5</definedName>
    <definedName name="DATE_4">MarketData!$B$6</definedName>
    <definedName name="DATE_5">MarketData!$B$7</definedName>
    <definedName name="DATE_6">MarketData!$B$8</definedName>
    <definedName name="DATE_7">MarketData!$B$9</definedName>
    <definedName name="DATE_8">MarketData!$B$10</definedName>
    <definedName name="DATE_9">MarketData!$B$11</definedName>
    <definedName name="DATES">MarketData!$B$3:$B$12</definedName>
    <definedName name="EX_1ST">MarketData!$P$9</definedName>
    <definedName name="EX_2ND">MarketData!$P$10</definedName>
    <definedName name="EX_3RD">MarketData!$P$11</definedName>
    <definedName name="EX_4TH">MarketData!$P$12</definedName>
    <definedName name="EX_5TH">MarketData!$P$13</definedName>
    <definedName name="EXCLUDED_ASSET">MarketData!$F$24</definedName>
    <definedName name="INSTRUMENT_1">MarketData!$A$3</definedName>
    <definedName name="INSTRUMENT_2">MarketData!$A$13</definedName>
    <definedName name="INSTRUMENT_3">MarketData!$A$23</definedName>
    <definedName name="INSTRUMENT_4">MarketData!$A$33</definedName>
    <definedName name="INSTRUMENT_5">MarketData!$A$43</definedName>
    <definedName name="OUTPUT_1">MarketData!$G$3:$G$5</definedName>
    <definedName name="OUTPUT_2">MarketData!$J$3:$J$5</definedName>
    <definedName name="OUTPUT_3">MarketData!$M$3:$M$5</definedName>
    <definedName name="OUTPUT_4">MarketData!$P$3:$P$5</definedName>
    <definedName name="OUTPUT_5">MarketData!$S$3:$S$5</definedName>
    <definedName name="OUTPUT_RETURNS">MarketData!$D$54:$D$62</definedName>
    <definedName name="PERCENTILE">MarketData!$F$9</definedName>
    <definedName name="PNL_EX1">MarketData!$Q$9</definedName>
    <definedName name="PNL_EX2">MarketData!$Q$10</definedName>
    <definedName name="PNL_EX3">MarketData!$Q$11</definedName>
    <definedName name="PNL_EX4">MarketData!$Q$12</definedName>
    <definedName name="PNL_EX5">MarketData!$Q$13</definedName>
    <definedName name="PORT_VALUE">MarketData!$L$9</definedName>
    <definedName name="PORT_VAR">MarketData!$I$9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3" i="2" l="1"/>
  <c r="C54" i="2"/>
  <c r="C55" i="2"/>
  <c r="C56" i="2"/>
  <c r="C57" i="2"/>
  <c r="C58" i="2"/>
  <c r="C59" i="2"/>
  <c r="C60" i="2"/>
  <c r="C61" i="2"/>
  <c r="C62" i="2"/>
  <c r="O13" i="2"/>
  <c r="O12" i="2"/>
  <c r="O11" i="2"/>
  <c r="O10" i="2"/>
  <c r="O9" i="2"/>
  <c r="L9" i="2"/>
  <c r="R2" i="2"/>
  <c r="O2" i="2"/>
  <c r="L2" i="2"/>
  <c r="I2" i="2"/>
  <c r="F2" i="2"/>
  <c r="G5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tc={961BFCC3-9979-4F4F-9C77-467ADCBD2D87}</author>
    <author>tc={294B6400-FB9D-4E24-A090-A89A2448B3FA}</author>
  </authors>
  <commentList>
    <comment ref="Q8" authorId="0" shapeId="0" xr:uid="{961BFCC3-9979-4F4F-9C77-467ADCBD2D87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Return if an intrument is excluded.</t>
      </text>
    </comment>
    <comment ref="F23" authorId="1" shapeId="0" xr:uid="{294B6400-FB9D-4E24-A090-A89A2448B3FA}">
      <text>
        <t>[Threaded comment]
Your version of Excel allows you to read this threaded comment; however, any edits to it will get removed if the file is opened in a newer version of Excel. Learn more: https://go.microsoft.com/fwlink/?linkid=870924
Comment:
    Exclude the given instrument number and chart historical portfolio returns.</t>
      </text>
    </comment>
  </commentList>
</comments>
</file>

<file path=xl/sharedStrings.xml><?xml version="1.0" encoding="utf-8"?>
<sst xmlns="http://schemas.openxmlformats.org/spreadsheetml/2006/main" count="84" uniqueCount="22">
  <si>
    <t>Instrument</t>
  </si>
  <si>
    <t>Bond</t>
  </si>
  <si>
    <t>Cash</t>
  </si>
  <si>
    <t>CDS</t>
  </si>
  <si>
    <t>Option</t>
  </si>
  <si>
    <t>Swap</t>
  </si>
  <si>
    <t>Instrument Var</t>
  </si>
  <si>
    <t>VaR Inputs:</t>
  </si>
  <si>
    <t>Marginal VaR</t>
  </si>
  <si>
    <t>Percentile</t>
  </si>
  <si>
    <t>Value, MM</t>
  </si>
  <si>
    <t>Date</t>
  </si>
  <si>
    <t>Chg%</t>
  </si>
  <si>
    <t xml:space="preserve"> Portfolio Value</t>
  </si>
  <si>
    <t>Portfolio VaR</t>
  </si>
  <si>
    <t>Portfolio &amp; Risk Analytics</t>
  </si>
  <si>
    <t>P&amp;L (P)</t>
  </si>
  <si>
    <t>Remove</t>
  </si>
  <si>
    <t>Port VaR</t>
  </si>
  <si>
    <t>Exclude Asset:</t>
  </si>
  <si>
    <t>Total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</si>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</sst>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2" tint="-0.249977111117893"/>
      <name val="Arial Rounded MT Bold"/>
      <family val="2"/>
    </font>
    <font>
      <b/>
      <sz val="11"/>
      <name val="Calibri"/>
      <family val="2"/>
      <scheme val="minor"/>
    </font>
    <font>
      <sz val="11"/>
      <color rgb="FFE5990D"/>
      <name val="Arial Rounded MT Bold"/>
      <family val="2"/>
    </font>
    <font>
      <b/>
      <sz val="11"/>
      <color theme="0"/>
      <name val="Arial Rounded MT Bold"/>
      <family val="2"/>
    </font>
    <font>
      <i/>
      <sz val="11"/>
      <color theme="0"/>
      <name val="Arial Rounded MT Bold"/>
      <family val="2"/>
    </font>
    <font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E58D0D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0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2"/>
      </left>
      <right style="hair">
        <color theme="2"/>
      </right>
      <top/>
      <bottom style="hair">
        <color theme="2"/>
      </bottom>
      <diagonal/>
    </border>
    <border>
      <left/>
      <right/>
      <top style="hair">
        <color theme="2"/>
      </top>
      <bottom/>
      <diagonal/>
    </border>
    <border>
      <left style="hair">
        <color theme="2"/>
      </left>
      <right/>
      <top style="hair">
        <color theme="2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2"/>
      </left>
      <right/>
      <top style="thin">
        <color theme="2"/>
      </top>
      <bottom/>
      <diagonal/>
    </border>
    <border>
      <left/>
      <right/>
      <top style="thin">
        <color theme="2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3" fillId="2" borderId="0" xfId="0" applyFont="1" applyFill="1"/>
    <xf numFmtId="0" fontId="3" fillId="2" borderId="1" xfId="0" applyFont="1" applyFill="1" applyBorder="1"/>
    <xf numFmtId="2" fontId="3" fillId="2" borderId="1" xfId="0" applyNumberFormat="1" applyFont="1" applyFill="1" applyBorder="1"/>
    <xf numFmtId="10" fontId="3" fillId="2" borderId="0" xfId="0" applyNumberFormat="1" applyFont="1" applyFill="1"/>
    <xf numFmtId="2" fontId="3" fillId="2" borderId="0" xfId="0" applyNumberFormat="1" applyFont="1" applyFill="1"/>
    <xf numFmtId="10" fontId="4" fillId="2" borderId="0" xfId="0" applyNumberFormat="1" applyFont="1" applyFill="1"/>
    <xf numFmtId="0" fontId="3" fillId="2" borderId="0" xfId="0" applyFont="1" applyFill="1" applyAlignment="1">
      <alignment horizontal="center"/>
    </xf>
    <xf numFmtId="14" fontId="6" fillId="2" borderId="0" xfId="0" applyNumberFormat="1" applyFont="1" applyFill="1" applyBorder="1"/>
    <xf numFmtId="2" fontId="6" fillId="2" borderId="0" xfId="0" applyNumberFormat="1" applyFont="1" applyFill="1" applyBorder="1"/>
    <xf numFmtId="2" fontId="6" fillId="5" borderId="0" xfId="0" applyNumberFormat="1" applyFont="1" applyFill="1" applyBorder="1"/>
    <xf numFmtId="14" fontId="6" fillId="5" borderId="0" xfId="0" applyNumberFormat="1" applyFont="1" applyFill="1" applyBorder="1"/>
    <xf numFmtId="10" fontId="4" fillId="5" borderId="0" xfId="0" applyNumberFormat="1" applyFont="1" applyFill="1"/>
    <xf numFmtId="10" fontId="6" fillId="2" borderId="0" xfId="0" applyNumberFormat="1" applyFont="1" applyFill="1" applyBorder="1"/>
    <xf numFmtId="0" fontId="5" fillId="3" borderId="2" xfId="0" applyFont="1" applyFill="1" applyBorder="1" applyAlignment="1">
      <alignment horizontal="right"/>
    </xf>
    <xf numFmtId="0" fontId="1" fillId="4" borderId="4" xfId="0" applyFont="1" applyFill="1" applyBorder="1" applyAlignment="1"/>
    <xf numFmtId="10" fontId="1" fillId="2" borderId="0" xfId="0" applyNumberFormat="1" applyFont="1" applyFill="1" applyBorder="1"/>
    <xf numFmtId="0" fontId="1" fillId="4" borderId="5" xfId="0" applyFont="1" applyFill="1" applyBorder="1"/>
    <xf numFmtId="0" fontId="1" fillId="4" borderId="5" xfId="0" applyFont="1" applyFill="1" applyBorder="1" applyAlignment="1">
      <alignment horizontal="center"/>
    </xf>
    <xf numFmtId="10" fontId="1" fillId="2" borderId="5" xfId="0" applyNumberFormat="1" applyFont="1" applyFill="1" applyBorder="1"/>
    <xf numFmtId="0" fontId="1" fillId="2" borderId="5" xfId="0" applyFont="1" applyFill="1" applyBorder="1"/>
    <xf numFmtId="2" fontId="6" fillId="5" borderId="6" xfId="0" applyNumberFormat="1" applyFont="1" applyFill="1" applyBorder="1"/>
    <xf numFmtId="14" fontId="6" fillId="5" borderId="6" xfId="0" applyNumberFormat="1" applyFont="1" applyFill="1" applyBorder="1"/>
    <xf numFmtId="10" fontId="4" fillId="5" borderId="6" xfId="0" applyNumberFormat="1" applyFont="1" applyFill="1" applyBorder="1"/>
    <xf numFmtId="10" fontId="6" fillId="6" borderId="9" xfId="0" applyNumberFormat="1" applyFont="1" applyFill="1" applyBorder="1"/>
    <xf numFmtId="10" fontId="3" fillId="6" borderId="5" xfId="0" applyNumberFormat="1" applyFont="1" applyFill="1" applyBorder="1"/>
    <xf numFmtId="0" fontId="3" fillId="6" borderId="5" xfId="0" applyFont="1" applyFill="1" applyBorder="1"/>
    <xf numFmtId="2" fontId="8" fillId="6" borderId="10" xfId="0" applyNumberFormat="1" applyFont="1" applyFill="1" applyBorder="1"/>
    <xf numFmtId="0" fontId="7" fillId="6" borderId="7" xfId="0" applyFont="1" applyFill="1" applyBorder="1"/>
    <xf numFmtId="0" fontId="1" fillId="4" borderId="5" xfId="0" applyFont="1" applyFill="1" applyBorder="1" applyAlignment="1">
      <alignment horizontal="right"/>
    </xf>
    <xf numFmtId="0" fontId="1" fillId="5" borderId="5" xfId="0" applyFont="1" applyFill="1" applyBorder="1"/>
    <xf numFmtId="10" fontId="6" fillId="5" borderId="0" xfId="0" applyNumberFormat="1" applyFont="1" applyFill="1" applyBorder="1"/>
    <xf numFmtId="10" fontId="1" fillId="2" borderId="9" xfId="0" applyNumberFormat="1" applyFont="1" applyFill="1" applyBorder="1"/>
    <xf numFmtId="10" fontId="6" fillId="2" borderId="8" xfId="0" applyNumberFormat="1" applyFont="1" applyFill="1" applyBorder="1"/>
    <xf numFmtId="10" fontId="6" fillId="2" borderId="6" xfId="0" applyNumberFormat="1" applyFont="1" applyFill="1" applyBorder="1"/>
    <xf numFmtId="10" fontId="3" fillId="2" borderId="0" xfId="0" applyNumberFormat="1" applyFont="1" applyFill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2" fontId="6" fillId="6" borderId="8" xfId="0" applyNumberFormat="1" applyFont="1" applyFill="1" applyBorder="1" applyAlignment="1">
      <alignment horizontal="center"/>
    </xf>
    <xf numFmtId="2" fontId="6" fillId="6" borderId="11" xfId="0" applyNumberFormat="1" applyFont="1" applyFill="1" applyBorder="1" applyAlignment="1">
      <alignment horizontal="center"/>
    </xf>
    <xf numFmtId="0" fontId="9" fillId="7" borderId="12" xfId="0" applyFont="1" applyFill="1" applyBorder="1" applyAlignment="1">
      <alignment horizontal="right"/>
    </xf>
    <xf numFmtId="0" fontId="9" fillId="7" borderId="13" xfId="0" applyFont="1" applyFill="1" applyBorder="1" applyAlignment="1">
      <alignment horizontal="right"/>
    </xf>
    <xf numFmtId="0" fontId="2" fillId="4" borderId="4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8">
    <dxf>
      <font>
        <color rgb="FF52DC75"/>
      </font>
    </dxf>
    <dxf>
      <font>
        <color rgb="FFFF0000"/>
      </font>
    </dxf>
    <dxf>
      <font>
        <color rgb="FF52DC75"/>
      </font>
    </dxf>
    <dxf>
      <font>
        <color rgb="FFFF0000"/>
      </font>
    </dxf>
    <dxf>
      <font>
        <color rgb="FF52DC75"/>
      </font>
    </dxf>
    <dxf>
      <font>
        <color rgb="FFFF0000"/>
      </font>
    </dxf>
    <dxf>
      <font>
        <color rgb="FF52DC75"/>
      </font>
    </dxf>
    <dxf>
      <font>
        <color rgb="FFFF0000"/>
      </font>
    </dxf>
  </dxfs>
  <tableStyles count="0" defaultTableStyle="TableStyleMedium2" defaultPivotStyle="PivotStyleMedium9"/>
  <colors>
    <mruColors>
      <color rgb="FFC0C3C0"/>
      <color rgb="FF2A2A2A"/>
      <color rgb="FF52DC75"/>
      <color rgb="FFE5990D"/>
      <color rgb="FFE58D0D"/>
      <color rgb="FF646464"/>
      <color rgb="FF3C2C00"/>
      <color rgb="FF422C00"/>
      <color rgb="FFE583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cap="all" spc="50" baseline="0">
                <a:solidFill>
                  <a:schemeClr val="bg2"/>
                </a:solidFill>
                <a:latin typeface="+mn-lt"/>
                <a:ea typeface="+mn-ea"/>
                <a:cs typeface="+mn-cs"/>
              </a:defRPr>
            </a:pPr>
            <a:r>
              <a:rPr lang="en-US" sz="1100" b="0" cap="none" baseline="0">
                <a:solidFill>
                  <a:schemeClr val="bg2"/>
                </a:solidFill>
                <a:latin typeface="+mn-lt"/>
              </a:rPr>
              <a:t>P&amp;L if a particular asset is removed from portfolio </a:t>
            </a:r>
          </a:p>
        </c:rich>
      </c:tx>
      <c:layout>
        <c:manualLayout>
          <c:xMode val="edge"/>
          <c:yMode val="edge"/>
          <c:x val="0.14672900262467192"/>
          <c:y val="5.62587904360056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cap="all" spc="50" baseline="0">
              <a:solidFill>
                <a:schemeClr val="bg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1"/>
          <c:cat>
            <c:strRef>
              <c:f>MarketData!$O$9:$O$13</c:f>
              <c:strCache>
                <c:ptCount val="5"/>
                <c:pt idx="0">
                  <c:v>Cash</c:v>
                </c:pt>
                <c:pt idx="1">
                  <c:v>Bond</c:v>
                </c:pt>
                <c:pt idx="2">
                  <c:v>CDS</c:v>
                </c:pt>
                <c:pt idx="3">
                  <c:v>Option</c:v>
                </c:pt>
                <c:pt idx="4">
                  <c:v>Swap</c:v>
                </c:pt>
              </c:strCache>
            </c:strRef>
          </c:cat>
          <c:val>
            <c:numRef>
              <c:f>MarketData!$Q$9:$Q$13</c:f>
              <c:numCache>
                <c:formatCode>0.00%</c:formatCode>
                <c:ptCount val="5"/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1CA-4AF3-809A-A98A11CC8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99788479"/>
        <c:axId val="1402604079"/>
      </c:barChart>
      <c:catAx>
        <c:axId val="99978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604079"/>
        <c:crosses val="autoZero"/>
        <c:auto val="1"/>
        <c:lblAlgn val="ctr"/>
        <c:lblOffset val="100"/>
        <c:noMultiLvlLbl val="0"/>
      </c:catAx>
      <c:valAx>
        <c:axId val="1402604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788479"/>
        <c:crosses val="autoZero"/>
        <c:crossBetween val="between"/>
      </c:valAx>
      <c:spPr>
        <a:solidFill>
          <a:srgbClr val="2A2A2A"/>
        </a:solidFill>
        <a:ln>
          <a:solidFill>
            <a:schemeClr val="tx1">
              <a:lumMod val="75000"/>
              <a:lumOff val="2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aseline="0">
                <a:solidFill>
                  <a:schemeClr val="bg2"/>
                </a:solidFill>
              </a:rPr>
              <a:t>Portfolio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spPr>
            <a:gradFill>
              <a:gsLst>
                <a:gs pos="12000">
                  <a:schemeClr val="tx2">
                    <a:lumMod val="50000"/>
                  </a:schemeClr>
                </a:gs>
                <a:gs pos="32000">
                  <a:schemeClr val="tx2">
                    <a:lumMod val="50000"/>
                  </a:schemeClr>
                </a:gs>
                <a:gs pos="66000">
                  <a:schemeClr val="accent1">
                    <a:lumMod val="50000"/>
                  </a:schemeClr>
                </a:gs>
              </a:gsLst>
              <a:lin ang="2700000" scaled="1"/>
            </a:gradFill>
            <a:ln w="9525">
              <a:solidFill>
                <a:schemeClr val="bg2"/>
              </a:solidFill>
            </a:ln>
            <a:effectLst/>
          </c:spPr>
          <c:cat>
            <c:numRef>
              <c:f>MarketData!$B$54:$B$62</c:f>
              <c:numCache>
                <c:formatCode>m/d/yyyy</c:formatCode>
                <c:ptCount val="9"/>
                <c:pt idx="0">
                  <c:v>43801</c:v>
                </c:pt>
                <c:pt idx="1">
                  <c:v>43802</c:v>
                </c:pt>
                <c:pt idx="2">
                  <c:v>43803</c:v>
                </c:pt>
                <c:pt idx="3">
                  <c:v>43804</c:v>
                </c:pt>
                <c:pt idx="4">
                  <c:v>43805</c:v>
                </c:pt>
                <c:pt idx="5">
                  <c:v>43806</c:v>
                </c:pt>
                <c:pt idx="6">
                  <c:v>43807</c:v>
                </c:pt>
                <c:pt idx="7">
                  <c:v>43808</c:v>
                </c:pt>
                <c:pt idx="8">
                  <c:v>43809</c:v>
                </c:pt>
              </c:numCache>
            </c:numRef>
          </c:cat>
          <c:val>
            <c:numRef>
              <c:f>MarketData!$D$54:$D$62</c:f>
              <c:numCache>
                <c:formatCode>0.00%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1-E8DD-49D8-AEDE-CD2E4FA62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0889599"/>
        <c:axId val="1076414927"/>
      </c:areaChart>
      <c:lineChart>
        <c:grouping val="standard"/>
        <c:varyColors val="0"/>
        <c:ser>
          <c:idx val="0"/>
          <c:order val="1"/>
          <c:spPr>
            <a:ln w="9525" cap="rnd">
              <a:solidFill>
                <a:schemeClr val="bg2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MarketData!$B$54:$B$62</c:f>
              <c:numCache>
                <c:formatCode>m/d/yyyy</c:formatCode>
                <c:ptCount val="9"/>
                <c:pt idx="0">
                  <c:v>43801</c:v>
                </c:pt>
                <c:pt idx="1">
                  <c:v>43802</c:v>
                </c:pt>
                <c:pt idx="2">
                  <c:v>43803</c:v>
                </c:pt>
                <c:pt idx="3">
                  <c:v>43804</c:v>
                </c:pt>
                <c:pt idx="4">
                  <c:v>43805</c:v>
                </c:pt>
                <c:pt idx="5">
                  <c:v>43806</c:v>
                </c:pt>
                <c:pt idx="6">
                  <c:v>43807</c:v>
                </c:pt>
                <c:pt idx="7">
                  <c:v>43808</c:v>
                </c:pt>
                <c:pt idx="8">
                  <c:v>43809</c:v>
                </c:pt>
              </c:numCache>
            </c:numRef>
          </c:cat>
          <c:val>
            <c:numRef>
              <c:f>MarketData!$D$54:$D$62</c:f>
              <c:numCache>
                <c:formatCode>0.00%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DD-49D8-AEDE-CD2E4FA62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0889599"/>
        <c:axId val="1076414927"/>
      </c:lineChart>
      <c:dateAx>
        <c:axId val="940889599"/>
        <c:scaling>
          <c:orientation val="minMax"/>
          <c:max val="43809"/>
          <c:min val="43801"/>
        </c:scaling>
        <c:delete val="0"/>
        <c:axPos val="b"/>
        <c:minorGridlines>
          <c:spPr>
            <a:ln w="9525" cap="flat" cmpd="sng" algn="ctr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</c:min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414927"/>
        <c:crosses val="autoZero"/>
        <c:auto val="1"/>
        <c:lblOffset val="100"/>
        <c:baseTimeUnit val="days"/>
      </c:dateAx>
      <c:valAx>
        <c:axId val="1076414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0889599"/>
        <c:crosses val="autoZero"/>
        <c:crossBetween val="midCat"/>
      </c:valAx>
      <c:spPr>
        <a:solidFill>
          <a:schemeClr val="tx1">
            <a:lumMod val="85000"/>
            <a:lumOff val="1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601980</xdr:colOff>
          <xdr:row>11</xdr:row>
          <xdr:rowOff>45720</xdr:rowOff>
        </xdr:from>
        <xdr:to>
          <xdr:col>7</xdr:col>
          <xdr:colOff>144780</xdr:colOff>
          <xdr:row>15</xdr:row>
          <xdr:rowOff>114300</xdr:rowOff>
        </xdr:to>
        <xdr:sp macro="" textlink="">
          <xdr:nvSpPr>
            <xdr:cNvPr id="2064" name="CommandButton1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601980</xdr:colOff>
          <xdr:row>16</xdr:row>
          <xdr:rowOff>53340</xdr:rowOff>
        </xdr:from>
        <xdr:to>
          <xdr:col>7</xdr:col>
          <xdr:colOff>144780</xdr:colOff>
          <xdr:row>18</xdr:row>
          <xdr:rowOff>99060</xdr:rowOff>
        </xdr:to>
        <xdr:sp macro="" textlink="">
          <xdr:nvSpPr>
            <xdr:cNvPr id="2065" name="CommandButton2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205740</xdr:colOff>
      <xdr:row>11</xdr:row>
      <xdr:rowOff>121920</xdr:rowOff>
    </xdr:from>
    <xdr:to>
      <xdr:col>13</xdr:col>
      <xdr:colOff>472440</xdr:colOff>
      <xdr:row>26</xdr:row>
      <xdr:rowOff>87630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220980</xdr:colOff>
      <xdr:row>28</xdr:row>
      <xdr:rowOff>49530</xdr:rowOff>
    </xdr:from>
    <xdr:to>
      <xdr:col>18</xdr:col>
      <xdr:colOff>137160</xdr:colOff>
      <xdr:row>43</xdr:row>
      <xdr:rowOff>49530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Q8" dT="2020-01-12T10:38:14.45" personId="{00000000-0000-0000-0000-000000000000}" id="{961BFCC3-9979-4F4F-9C77-467ADCBD2D87}">
    <text>Total Return if an intrument is excluded.</text>
  </threadedComment>
  <threadedComment ref="F23" dT="2020-01-12T10:41:44.46" personId="{00000000-0000-0000-0000-000000000000}" id="{294B6400-FB9D-4E24-A090-A89A2448B3FA}">
    <text>Exclude the given instrument number and chart historical portfolio returns.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64"/>
  <sheetViews>
    <sheetView tabSelected="1" workbookViewId="0">
      <selection activeCell="H12" sqref="H12"/>
    </sheetView>
  </sheetViews>
  <sheetFormatPr defaultRowHeight="14.4" x14ac:dyDescent="0.3"/>
  <cols>
    <col min="1" max="1" width="10.33203125" style="1" bestFit="1" customWidth="1"/>
    <col min="2" max="2" width="11.88671875" style="1" bestFit="1" customWidth="1"/>
    <col min="3" max="3" width="9.77734375" style="1" bestFit="1" customWidth="1"/>
    <col min="4" max="4" width="10.6640625" style="1" bestFit="1" customWidth="1"/>
    <col min="5" max="5" width="8.88671875" style="1"/>
    <col min="6" max="6" width="13.21875" style="1" bestFit="1" customWidth="1"/>
    <col min="7" max="7" width="8.88671875" style="1"/>
    <col min="8" max="8" width="9.6640625" style="1" customWidth="1"/>
    <col min="9" max="9" width="13.21875" style="1" bestFit="1" customWidth="1"/>
    <col min="10" max="11" width="8.88671875" style="1"/>
    <col min="12" max="12" width="13.21875" style="1" bestFit="1" customWidth="1"/>
    <col min="13" max="13" width="8.88671875" style="1"/>
    <col min="14" max="14" width="10.21875" style="1" bestFit="1" customWidth="1"/>
    <col min="15" max="15" width="13.21875" style="1" bestFit="1" customWidth="1"/>
    <col min="16" max="17" width="9" style="1" bestFit="1" customWidth="1"/>
    <col min="18" max="18" width="13.21875" style="1" bestFit="1" customWidth="1"/>
    <col min="19" max="16384" width="8.88671875" style="1"/>
  </cols>
  <sheetData>
    <row r="1" spans="1:19" ht="21" x14ac:dyDescent="0.4">
      <c r="A1" s="40" t="s">
        <v>15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</row>
    <row r="2" spans="1:19" x14ac:dyDescent="0.3">
      <c r="A2" s="17" t="s">
        <v>0</v>
      </c>
      <c r="B2" s="18" t="s">
        <v>11</v>
      </c>
      <c r="C2" s="17" t="s">
        <v>10</v>
      </c>
      <c r="D2" s="29" t="s">
        <v>12</v>
      </c>
      <c r="F2" s="42" t="str">
        <f>INSTRUMENT_1</f>
        <v>Cash</v>
      </c>
      <c r="G2" s="43"/>
      <c r="I2" s="42" t="str">
        <f>INSTRUMENT_2</f>
        <v>Bond</v>
      </c>
      <c r="J2" s="43"/>
      <c r="L2" s="36" t="str">
        <f>INSTRUMENT_3</f>
        <v>CDS</v>
      </c>
      <c r="M2" s="37"/>
      <c r="O2" s="36" t="str">
        <f>INSTRUMENT_4</f>
        <v>Option</v>
      </c>
      <c r="P2" s="37"/>
      <c r="R2" s="36" t="str">
        <f>INSTRUMENT_5</f>
        <v>Swap</v>
      </c>
      <c r="S2" s="37"/>
    </row>
    <row r="3" spans="1:19" x14ac:dyDescent="0.3">
      <c r="A3" s="9" t="s">
        <v>2</v>
      </c>
      <c r="B3" s="8">
        <v>43800</v>
      </c>
      <c r="C3" s="9">
        <v>20.999424713503942</v>
      </c>
      <c r="D3" s="6"/>
      <c r="E3" s="44"/>
      <c r="F3" s="32" t="s">
        <v>6</v>
      </c>
      <c r="G3" s="13"/>
      <c r="H3" s="4"/>
      <c r="I3" s="19" t="s">
        <v>6</v>
      </c>
      <c r="J3" s="13"/>
      <c r="L3" s="19" t="s">
        <v>6</v>
      </c>
      <c r="M3" s="13"/>
      <c r="O3" s="19" t="s">
        <v>6</v>
      </c>
      <c r="P3" s="13"/>
      <c r="R3" s="19" t="s">
        <v>6</v>
      </c>
      <c r="S3" s="13"/>
    </row>
    <row r="4" spans="1:19" x14ac:dyDescent="0.3">
      <c r="A4" s="10" t="s">
        <v>2</v>
      </c>
      <c r="B4" s="11">
        <v>43801</v>
      </c>
      <c r="C4" s="10">
        <v>20.884445166860392</v>
      </c>
      <c r="D4" s="12">
        <v>-5.4753665022837517E-3</v>
      </c>
      <c r="E4" s="44"/>
      <c r="F4" s="19" t="s">
        <v>8</v>
      </c>
      <c r="G4" s="13"/>
      <c r="I4" s="20" t="s">
        <v>8</v>
      </c>
      <c r="J4" s="13"/>
      <c r="L4" s="20" t="s">
        <v>8</v>
      </c>
      <c r="M4" s="13"/>
      <c r="O4" s="20" t="s">
        <v>8</v>
      </c>
      <c r="P4" s="13"/>
      <c r="Q4" s="4"/>
      <c r="R4" s="20" t="s">
        <v>8</v>
      </c>
      <c r="S4" s="13"/>
    </row>
    <row r="5" spans="1:19" x14ac:dyDescent="0.3">
      <c r="A5" s="9" t="s">
        <v>2</v>
      </c>
      <c r="B5" s="8">
        <v>43802</v>
      </c>
      <c r="C5" s="9">
        <v>20.466394140910388</v>
      </c>
      <c r="D5" s="6">
        <v>-2.0017339345618335E-2</v>
      </c>
      <c r="E5" s="44"/>
      <c r="F5" s="16"/>
      <c r="G5" s="13"/>
      <c r="I5" s="16"/>
      <c r="J5" s="13"/>
      <c r="L5" s="16"/>
      <c r="M5" s="13"/>
      <c r="O5" s="16"/>
      <c r="P5" s="13"/>
      <c r="Q5" s="4"/>
      <c r="R5" s="16"/>
      <c r="S5" s="13"/>
    </row>
    <row r="6" spans="1:19" x14ac:dyDescent="0.3">
      <c r="A6" s="10" t="s">
        <v>2</v>
      </c>
      <c r="B6" s="11">
        <v>43803</v>
      </c>
      <c r="C6" s="10">
        <v>20.894634858006569</v>
      </c>
      <c r="D6" s="12">
        <v>2.0924092155548246E-2</v>
      </c>
      <c r="E6" s="44"/>
      <c r="G6" s="4"/>
      <c r="P6" s="4"/>
      <c r="Q6" s="4"/>
      <c r="S6" s="9"/>
    </row>
    <row r="7" spans="1:19" x14ac:dyDescent="0.3">
      <c r="A7" s="9" t="s">
        <v>2</v>
      </c>
      <c r="B7" s="8">
        <v>43804</v>
      </c>
      <c r="C7" s="9">
        <v>20.556775493043787</v>
      </c>
      <c r="D7" s="6">
        <v>-1.6169670695791893E-2</v>
      </c>
      <c r="E7" s="44"/>
      <c r="G7" s="4"/>
    </row>
    <row r="8" spans="1:19" x14ac:dyDescent="0.3">
      <c r="A8" s="10" t="s">
        <v>2</v>
      </c>
      <c r="B8" s="11">
        <v>43805</v>
      </c>
      <c r="C8" s="10">
        <v>20.399881972998358</v>
      </c>
      <c r="D8" s="12">
        <v>-7.6322047734831422E-3</v>
      </c>
      <c r="E8" s="44"/>
      <c r="F8" s="15" t="s">
        <v>9</v>
      </c>
      <c r="I8" s="15" t="s">
        <v>14</v>
      </c>
      <c r="L8" s="36" t="s">
        <v>13</v>
      </c>
      <c r="M8" s="37"/>
      <c r="O8" s="15" t="s">
        <v>17</v>
      </c>
      <c r="P8" s="15" t="s">
        <v>18</v>
      </c>
      <c r="Q8" s="15" t="s">
        <v>16</v>
      </c>
      <c r="R8" s="4"/>
    </row>
    <row r="9" spans="1:19" x14ac:dyDescent="0.3">
      <c r="A9" s="9" t="s">
        <v>2</v>
      </c>
      <c r="B9" s="8">
        <v>43806</v>
      </c>
      <c r="C9" s="9">
        <v>20.696426962794181</v>
      </c>
      <c r="D9" s="6">
        <v>1.4536603211152688E-2</v>
      </c>
      <c r="E9" s="44"/>
      <c r="F9" s="14">
        <v>95</v>
      </c>
      <c r="I9" s="24"/>
      <c r="L9" s="38">
        <f>SUM(C12+C22+C32+C42+C52) *(1+PORT_VAR)</f>
        <v>191.04141282236401</v>
      </c>
      <c r="M9" s="39"/>
      <c r="O9" s="20" t="str">
        <f>INSTRUMENT_1</f>
        <v>Cash</v>
      </c>
      <c r="P9" s="13"/>
      <c r="Q9" s="13"/>
      <c r="R9" s="4"/>
    </row>
    <row r="10" spans="1:19" x14ac:dyDescent="0.3">
      <c r="A10" s="10" t="s">
        <v>2</v>
      </c>
      <c r="B10" s="11">
        <v>43807</v>
      </c>
      <c r="C10" s="10">
        <v>20.859560651233824</v>
      </c>
      <c r="D10" s="12">
        <v>7.8822150670212476E-3</v>
      </c>
      <c r="E10" s="44"/>
      <c r="O10" s="30" t="str">
        <f>INSTRUMENT_2</f>
        <v>Bond</v>
      </c>
      <c r="P10" s="31"/>
      <c r="Q10" s="31"/>
      <c r="R10" s="4"/>
    </row>
    <row r="11" spans="1:19" x14ac:dyDescent="0.3">
      <c r="A11" s="9" t="s">
        <v>2</v>
      </c>
      <c r="B11" s="8">
        <v>43808</v>
      </c>
      <c r="C11" s="9">
        <v>20.460417144064131</v>
      </c>
      <c r="D11" s="6">
        <v>-1.913479932982598E-2</v>
      </c>
      <c r="E11" s="44"/>
      <c r="O11" s="20" t="str">
        <f>INSTRUMENT_3</f>
        <v>CDS</v>
      </c>
      <c r="P11" s="13"/>
      <c r="Q11" s="13"/>
      <c r="R11" s="4"/>
    </row>
    <row r="12" spans="1:19" x14ac:dyDescent="0.3">
      <c r="A12" s="21" t="s">
        <v>2</v>
      </c>
      <c r="B12" s="22">
        <v>43809</v>
      </c>
      <c r="C12" s="21">
        <v>20.676980006328076</v>
      </c>
      <c r="D12" s="23">
        <v>1.0584479326061658E-2</v>
      </c>
      <c r="E12" s="44"/>
      <c r="O12" s="30" t="str">
        <f>INSTRUMENT_4</f>
        <v>Option</v>
      </c>
      <c r="P12" s="31"/>
      <c r="Q12" s="31"/>
      <c r="R12" s="4"/>
    </row>
    <row r="13" spans="1:19" x14ac:dyDescent="0.3">
      <c r="A13" s="9" t="s">
        <v>1</v>
      </c>
      <c r="B13" s="8">
        <v>43800</v>
      </c>
      <c r="C13" s="9">
        <v>105.18726250860762</v>
      </c>
      <c r="D13" s="6"/>
      <c r="O13" s="20" t="str">
        <f>INSTRUMENT_5</f>
        <v>Swap</v>
      </c>
      <c r="P13" s="33"/>
      <c r="Q13" s="34"/>
      <c r="R13" s="4"/>
    </row>
    <row r="14" spans="1:19" x14ac:dyDescent="0.3">
      <c r="A14" s="10" t="s">
        <v>1</v>
      </c>
      <c r="B14" s="11">
        <v>43801</v>
      </c>
      <c r="C14" s="10">
        <v>105.69345941439336</v>
      </c>
      <c r="D14" s="12">
        <v>4.8123403320274871E-3</v>
      </c>
    </row>
    <row r="15" spans="1:19" x14ac:dyDescent="0.3">
      <c r="A15" s="9" t="s">
        <v>1</v>
      </c>
      <c r="B15" s="8">
        <v>43802</v>
      </c>
      <c r="C15" s="9">
        <v>105.98687637574172</v>
      </c>
      <c r="D15" s="6">
        <v>2.7761127601846347E-3</v>
      </c>
    </row>
    <row r="16" spans="1:19" x14ac:dyDescent="0.3">
      <c r="A16" s="10" t="s">
        <v>1</v>
      </c>
      <c r="B16" s="11">
        <v>43803</v>
      </c>
      <c r="C16" s="10">
        <v>105.33473972728707</v>
      </c>
      <c r="D16" s="12">
        <v>-6.1529943211336979E-3</v>
      </c>
      <c r="K16" s="4"/>
      <c r="P16" s="2"/>
    </row>
    <row r="17" spans="1:18" x14ac:dyDescent="0.3">
      <c r="A17" s="9" t="s">
        <v>1</v>
      </c>
      <c r="B17" s="8">
        <v>43804</v>
      </c>
      <c r="C17" s="9">
        <v>105.75790961848367</v>
      </c>
      <c r="D17" s="6">
        <v>4.0173820364695079E-3</v>
      </c>
      <c r="F17" s="5"/>
      <c r="G17" s="4"/>
      <c r="I17" s="4"/>
      <c r="J17" s="4"/>
      <c r="K17" s="4"/>
      <c r="P17" s="2"/>
      <c r="Q17" s="2"/>
      <c r="R17" s="2"/>
    </row>
    <row r="18" spans="1:18" x14ac:dyDescent="0.3">
      <c r="A18" s="10" t="s">
        <v>1</v>
      </c>
      <c r="B18" s="11">
        <v>43805</v>
      </c>
      <c r="C18" s="10">
        <v>105.01686675120601</v>
      </c>
      <c r="D18" s="12">
        <v>-7.0069734731986744E-3</v>
      </c>
      <c r="H18" s="4"/>
      <c r="I18" s="4"/>
      <c r="J18" s="4"/>
      <c r="K18" s="4"/>
      <c r="P18" s="2"/>
      <c r="Q18" s="2"/>
      <c r="R18" s="2"/>
    </row>
    <row r="19" spans="1:18" x14ac:dyDescent="0.3">
      <c r="A19" s="9" t="s">
        <v>1</v>
      </c>
      <c r="B19" s="8">
        <v>43806</v>
      </c>
      <c r="C19" s="9">
        <v>105.50453941346575</v>
      </c>
      <c r="D19" s="6">
        <v>4.6437555922809182E-3</v>
      </c>
      <c r="F19" s="5"/>
      <c r="G19" s="4"/>
      <c r="H19" s="4"/>
      <c r="I19" s="4"/>
      <c r="J19" s="4"/>
      <c r="K19" s="4"/>
      <c r="P19" s="2"/>
      <c r="Q19" s="2"/>
      <c r="R19" s="2"/>
    </row>
    <row r="20" spans="1:18" x14ac:dyDescent="0.3">
      <c r="A20" s="10" t="s">
        <v>1</v>
      </c>
      <c r="B20" s="11">
        <v>43807</v>
      </c>
      <c r="C20" s="10">
        <v>105.63067949375038</v>
      </c>
      <c r="D20" s="12">
        <v>1.1955891280686082E-3</v>
      </c>
      <c r="F20" s="5"/>
      <c r="G20" s="4"/>
      <c r="H20" s="4"/>
      <c r="I20" s="4"/>
      <c r="J20" s="4"/>
      <c r="K20" s="4"/>
      <c r="P20" s="2"/>
    </row>
    <row r="21" spans="1:18" x14ac:dyDescent="0.3">
      <c r="A21" s="9" t="s">
        <v>1</v>
      </c>
      <c r="B21" s="8">
        <v>43808</v>
      </c>
      <c r="C21" s="9">
        <v>105.00939946132638</v>
      </c>
      <c r="D21" s="6">
        <v>-5.8816248783172265E-3</v>
      </c>
      <c r="P21" s="3"/>
    </row>
    <row r="22" spans="1:18" x14ac:dyDescent="0.3">
      <c r="A22" s="21" t="s">
        <v>1</v>
      </c>
      <c r="B22" s="22">
        <v>43809</v>
      </c>
      <c r="C22" s="21">
        <v>105.51500644095381</v>
      </c>
      <c r="D22" s="23">
        <v>4.8148735467594683E-3</v>
      </c>
      <c r="F22" s="5"/>
      <c r="G22" s="4"/>
      <c r="H22" s="4"/>
      <c r="I22" s="4"/>
      <c r="J22" s="4"/>
      <c r="K22" s="4"/>
      <c r="P22" s="2"/>
    </row>
    <row r="23" spans="1:18" x14ac:dyDescent="0.3">
      <c r="A23" s="9" t="s">
        <v>3</v>
      </c>
      <c r="B23" s="8">
        <v>43800</v>
      </c>
      <c r="C23" s="9">
        <v>50.24360949261159</v>
      </c>
      <c r="D23" s="6"/>
      <c r="F23" s="15" t="s">
        <v>19</v>
      </c>
      <c r="G23" s="4"/>
      <c r="H23" s="4"/>
      <c r="I23" s="4"/>
      <c r="J23" s="4"/>
      <c r="K23" s="4"/>
      <c r="P23" s="2"/>
    </row>
    <row r="24" spans="1:18" x14ac:dyDescent="0.3">
      <c r="A24" s="10" t="s">
        <v>3</v>
      </c>
      <c r="B24" s="11">
        <v>43801</v>
      </c>
      <c r="C24" s="10">
        <v>50.595530559668596</v>
      </c>
      <c r="D24" s="12">
        <v>7.0042950857014397E-3</v>
      </c>
      <c r="F24" s="14" t="s">
        <v>21</v>
      </c>
      <c r="G24" s="4"/>
      <c r="H24" s="4"/>
      <c r="I24" s="4"/>
      <c r="J24" s="4"/>
      <c r="K24" s="4"/>
      <c r="P24" s="2"/>
    </row>
    <row r="25" spans="1:18" x14ac:dyDescent="0.3">
      <c r="A25" s="9" t="s">
        <v>3</v>
      </c>
      <c r="B25" s="8">
        <v>43802</v>
      </c>
      <c r="C25" s="9">
        <v>50.110700744026495</v>
      </c>
      <c r="D25" s="6">
        <v>-9.5824633179867336E-3</v>
      </c>
    </row>
    <row r="26" spans="1:18" x14ac:dyDescent="0.3">
      <c r="A26" s="10" t="s">
        <v>3</v>
      </c>
      <c r="B26" s="11">
        <v>43803</v>
      </c>
      <c r="C26" s="10">
        <v>50.768405761358125</v>
      </c>
      <c r="D26" s="12">
        <v>1.3125041309864915E-2</v>
      </c>
      <c r="G26" s="4"/>
      <c r="H26" s="4"/>
      <c r="I26" s="4"/>
    </row>
    <row r="27" spans="1:18" x14ac:dyDescent="0.3">
      <c r="A27" s="9" t="s">
        <v>3</v>
      </c>
      <c r="B27" s="8">
        <v>43804</v>
      </c>
      <c r="C27" s="9">
        <v>50.310378484891672</v>
      </c>
      <c r="D27" s="6">
        <v>-9.0218959921541941E-3</v>
      </c>
      <c r="G27" s="4"/>
      <c r="H27" s="4"/>
    </row>
    <row r="28" spans="1:18" x14ac:dyDescent="0.3">
      <c r="A28" s="10" t="s">
        <v>3</v>
      </c>
      <c r="B28" s="11">
        <v>43805</v>
      </c>
      <c r="C28" s="10">
        <v>50.326411878934799</v>
      </c>
      <c r="D28" s="12">
        <v>3.18689593002075E-4</v>
      </c>
      <c r="G28" s="4"/>
      <c r="H28" s="4"/>
    </row>
    <row r="29" spans="1:18" x14ac:dyDescent="0.3">
      <c r="A29" s="9" t="s">
        <v>3</v>
      </c>
      <c r="B29" s="8">
        <v>43806</v>
      </c>
      <c r="C29" s="9">
        <v>50.994505596966128</v>
      </c>
      <c r="D29" s="6">
        <v>1.327521063171555E-2</v>
      </c>
      <c r="G29" s="4"/>
      <c r="H29" s="4"/>
    </row>
    <row r="30" spans="1:18" x14ac:dyDescent="0.3">
      <c r="A30" s="10" t="s">
        <v>3</v>
      </c>
      <c r="B30" s="11">
        <v>43807</v>
      </c>
      <c r="C30" s="10">
        <v>50.716515923374985</v>
      </c>
      <c r="D30" s="12">
        <v>-5.4513652076211283E-3</v>
      </c>
      <c r="G30" s="4"/>
      <c r="H30" s="4"/>
    </row>
    <row r="31" spans="1:18" x14ac:dyDescent="0.3">
      <c r="A31" s="9" t="s">
        <v>3</v>
      </c>
      <c r="B31" s="8">
        <v>43808</v>
      </c>
      <c r="C31" s="9">
        <v>50.877896884030598</v>
      </c>
      <c r="D31" s="6">
        <v>3.1820198552170442E-3</v>
      </c>
      <c r="F31" s="4"/>
    </row>
    <row r="32" spans="1:18" x14ac:dyDescent="0.3">
      <c r="A32" s="21" t="s">
        <v>3</v>
      </c>
      <c r="B32" s="22">
        <v>43809</v>
      </c>
      <c r="C32" s="21">
        <v>50.013303796979422</v>
      </c>
      <c r="D32" s="23">
        <v>-1.6993491083601597E-2</v>
      </c>
      <c r="G32" s="4"/>
      <c r="H32" s="4"/>
    </row>
    <row r="33" spans="1:8" x14ac:dyDescent="0.3">
      <c r="A33" s="9" t="s">
        <v>4</v>
      </c>
      <c r="B33" s="8">
        <v>43800</v>
      </c>
      <c r="C33" s="9">
        <v>2.9231989475910569</v>
      </c>
      <c r="D33" s="6"/>
      <c r="G33" s="4"/>
      <c r="H33" s="4"/>
    </row>
    <row r="34" spans="1:8" x14ac:dyDescent="0.3">
      <c r="A34" s="10" t="s">
        <v>4</v>
      </c>
      <c r="B34" s="11">
        <v>43801</v>
      </c>
      <c r="C34" s="10">
        <v>3.3491483549363208</v>
      </c>
      <c r="D34" s="12">
        <v>0.14571345125048007</v>
      </c>
      <c r="G34" s="4"/>
      <c r="H34" s="4"/>
    </row>
    <row r="35" spans="1:8" x14ac:dyDescent="0.3">
      <c r="A35" s="9" t="s">
        <v>4</v>
      </c>
      <c r="B35" s="8">
        <v>43802</v>
      </c>
      <c r="C35" s="9">
        <v>4.067125595257381</v>
      </c>
      <c r="D35" s="6">
        <v>0.21437606347381744</v>
      </c>
    </row>
    <row r="36" spans="1:8" x14ac:dyDescent="0.3">
      <c r="A36" s="10" t="s">
        <v>4</v>
      </c>
      <c r="B36" s="11">
        <v>43803</v>
      </c>
      <c r="C36" s="10">
        <v>1.5040552739088282</v>
      </c>
      <c r="D36" s="12">
        <v>-0.63019207578377068</v>
      </c>
    </row>
    <row r="37" spans="1:8" x14ac:dyDescent="0.3">
      <c r="A37" s="9" t="s">
        <v>4</v>
      </c>
      <c r="B37" s="8">
        <v>43804</v>
      </c>
      <c r="C37" s="9">
        <v>0.69162374599738341</v>
      </c>
      <c r="D37" s="6">
        <v>-0.54016068558441299</v>
      </c>
    </row>
    <row r="38" spans="1:8" x14ac:dyDescent="0.3">
      <c r="A38" s="10" t="s">
        <v>4</v>
      </c>
      <c r="B38" s="11">
        <v>43805</v>
      </c>
      <c r="C38" s="10">
        <v>1.4065926302337328</v>
      </c>
      <c r="D38" s="12">
        <v>1.0337541016688201</v>
      </c>
    </row>
    <row r="39" spans="1:8" x14ac:dyDescent="0.3">
      <c r="A39" s="9" t="s">
        <v>4</v>
      </c>
      <c r="B39" s="8">
        <v>43806</v>
      </c>
      <c r="C39" s="9">
        <v>6.2968039500181927E-2</v>
      </c>
      <c r="D39" s="6">
        <v>-0.9552336347093483</v>
      </c>
    </row>
    <row r="40" spans="1:8" x14ac:dyDescent="0.3">
      <c r="A40" s="10" t="s">
        <v>4</v>
      </c>
      <c r="B40" s="11">
        <v>43807</v>
      </c>
      <c r="C40" s="10">
        <v>1.7324892181094347</v>
      </c>
      <c r="D40" s="12">
        <v>26.513786864913097</v>
      </c>
    </row>
    <row r="41" spans="1:8" x14ac:dyDescent="0.3">
      <c r="A41" s="9" t="s">
        <v>4</v>
      </c>
      <c r="B41" s="8">
        <v>43808</v>
      </c>
      <c r="C41" s="9">
        <v>2.8180453486051222</v>
      </c>
      <c r="D41" s="6">
        <v>0.62658752455630995</v>
      </c>
    </row>
    <row r="42" spans="1:8" x14ac:dyDescent="0.3">
      <c r="A42" s="21" t="s">
        <v>4</v>
      </c>
      <c r="B42" s="22">
        <v>43809</v>
      </c>
      <c r="C42" s="21">
        <v>4.8000648287828458</v>
      </c>
      <c r="D42" s="23">
        <v>0.70333129350057644</v>
      </c>
    </row>
    <row r="43" spans="1:8" x14ac:dyDescent="0.3">
      <c r="A43" s="9" t="s">
        <v>5</v>
      </c>
      <c r="B43" s="8">
        <v>43800</v>
      </c>
      <c r="C43" s="9">
        <v>10.927700676771812</v>
      </c>
      <c r="D43" s="6"/>
    </row>
    <row r="44" spans="1:8" x14ac:dyDescent="0.3">
      <c r="A44" s="10" t="s">
        <v>5</v>
      </c>
      <c r="B44" s="11">
        <v>43801</v>
      </c>
      <c r="C44" s="10">
        <v>10.931321887115413</v>
      </c>
      <c r="D44" s="12">
        <v>3.3137898362256557E-4</v>
      </c>
    </row>
    <row r="45" spans="1:8" x14ac:dyDescent="0.3">
      <c r="A45" s="9" t="s">
        <v>5</v>
      </c>
      <c r="B45" s="8">
        <v>43802</v>
      </c>
      <c r="C45" s="9">
        <v>10.592514774649148</v>
      </c>
      <c r="D45" s="6">
        <v>-3.0994157519559584E-2</v>
      </c>
    </row>
    <row r="46" spans="1:8" x14ac:dyDescent="0.3">
      <c r="A46" s="10" t="s">
        <v>5</v>
      </c>
      <c r="B46" s="11">
        <v>43803</v>
      </c>
      <c r="C46" s="10">
        <v>10.639070741293368</v>
      </c>
      <c r="D46" s="12">
        <v>4.3951759931117884E-3</v>
      </c>
    </row>
    <row r="47" spans="1:8" x14ac:dyDescent="0.3">
      <c r="A47" s="9" t="s">
        <v>5</v>
      </c>
      <c r="B47" s="8">
        <v>43804</v>
      </c>
      <c r="C47" s="9">
        <v>10.242614151417435</v>
      </c>
      <c r="D47" s="6">
        <v>-3.7264212215186165E-2</v>
      </c>
    </row>
    <row r="48" spans="1:8" x14ac:dyDescent="0.3">
      <c r="A48" s="10" t="s">
        <v>5</v>
      </c>
      <c r="B48" s="11">
        <v>43805</v>
      </c>
      <c r="C48" s="10">
        <v>10.886612353904622</v>
      </c>
      <c r="D48" s="12">
        <v>6.2874398368122364E-2</v>
      </c>
    </row>
    <row r="49" spans="1:15" x14ac:dyDescent="0.3">
      <c r="A49" s="9" t="s">
        <v>5</v>
      </c>
      <c r="B49" s="8">
        <v>43806</v>
      </c>
      <c r="C49" s="9">
        <v>10.251079129378024</v>
      </c>
      <c r="D49" s="6">
        <v>-5.8377501087255701E-2</v>
      </c>
    </row>
    <row r="50" spans="1:15" x14ac:dyDescent="0.3">
      <c r="A50" s="10" t="s">
        <v>5</v>
      </c>
      <c r="B50" s="11">
        <v>43807</v>
      </c>
      <c r="C50" s="10">
        <v>10.028489620551202</v>
      </c>
      <c r="D50" s="12">
        <v>-2.1713763596743152E-2</v>
      </c>
      <c r="F50" s="28" t="s">
        <v>7</v>
      </c>
      <c r="G50" s="27" t="str">
        <f>ValueAtRisk_help()</f>
        <v>instrumentName As String, Percentile As Double, Optional excludedAssetNum As Integer</v>
      </c>
      <c r="H50" s="25"/>
      <c r="I50" s="25"/>
      <c r="J50" s="25"/>
      <c r="K50" s="25"/>
      <c r="L50" s="26"/>
      <c r="M50" s="26"/>
      <c r="N50" s="26"/>
      <c r="O50" s="26"/>
    </row>
    <row r="51" spans="1:15" x14ac:dyDescent="0.3">
      <c r="A51" s="9" t="s">
        <v>5</v>
      </c>
      <c r="B51" s="8">
        <v>43808</v>
      </c>
      <c r="C51" s="9">
        <v>10.599130083343574</v>
      </c>
      <c r="D51" s="6">
        <v>5.6901934826054879E-2</v>
      </c>
    </row>
    <row r="52" spans="1:15" x14ac:dyDescent="0.3">
      <c r="A52" s="21" t="s">
        <v>5</v>
      </c>
      <c r="B52" s="22">
        <v>43809</v>
      </c>
      <c r="C52" s="21">
        <v>10.036057749319863</v>
      </c>
      <c r="D52" s="23">
        <v>-5.3124391303449925E-2</v>
      </c>
    </row>
    <row r="53" spans="1:15" x14ac:dyDescent="0.3">
      <c r="A53" s="9" t="s">
        <v>20</v>
      </c>
      <c r="B53" s="8">
        <v>43800</v>
      </c>
      <c r="C53" s="9">
        <f>C3+C13+C23+C33+C43</f>
        <v>190.28119633908602</v>
      </c>
      <c r="D53" s="4"/>
    </row>
    <row r="54" spans="1:15" x14ac:dyDescent="0.3">
      <c r="A54" s="10" t="s">
        <v>20</v>
      </c>
      <c r="B54" s="11">
        <v>43801</v>
      </c>
      <c r="C54" s="10">
        <f t="shared" ref="C54:C57" si="0">C4+C14+C24+C34+C44</f>
        <v>191.45390538297409</v>
      </c>
      <c r="D54" s="12"/>
    </row>
    <row r="55" spans="1:15" x14ac:dyDescent="0.3">
      <c r="A55" s="9" t="s">
        <v>20</v>
      </c>
      <c r="B55" s="8">
        <v>43802</v>
      </c>
      <c r="C55" s="9">
        <f t="shared" si="0"/>
        <v>191.22361163058514</v>
      </c>
      <c r="D55" s="6"/>
    </row>
    <row r="56" spans="1:15" x14ac:dyDescent="0.3">
      <c r="A56" s="10" t="s">
        <v>20</v>
      </c>
      <c r="B56" s="11">
        <v>43803</v>
      </c>
      <c r="C56" s="10">
        <f t="shared" si="0"/>
        <v>189.14090636185398</v>
      </c>
      <c r="D56" s="12"/>
    </row>
    <row r="57" spans="1:15" x14ac:dyDescent="0.3">
      <c r="A57" s="9" t="s">
        <v>20</v>
      </c>
      <c r="B57" s="8">
        <v>43804</v>
      </c>
      <c r="C57" s="9">
        <f t="shared" si="0"/>
        <v>187.55930149383394</v>
      </c>
      <c r="D57" s="6"/>
    </row>
    <row r="58" spans="1:15" x14ac:dyDescent="0.3">
      <c r="A58" s="10" t="s">
        <v>20</v>
      </c>
      <c r="B58" s="11">
        <v>43805</v>
      </c>
      <c r="C58" s="10">
        <f>C8+C18+C28+C38+C48</f>
        <v>188.03636558727752</v>
      </c>
      <c r="D58" s="12"/>
    </row>
    <row r="59" spans="1:15" x14ac:dyDescent="0.3">
      <c r="A59" s="9" t="s">
        <v>20</v>
      </c>
      <c r="B59" s="8">
        <v>43806</v>
      </c>
      <c r="C59" s="9">
        <f>C9+C19+C29+C39+C49</f>
        <v>187.50951914210427</v>
      </c>
      <c r="D59" s="6"/>
    </row>
    <row r="60" spans="1:15" x14ac:dyDescent="0.3">
      <c r="A60" s="10" t="s">
        <v>20</v>
      </c>
      <c r="B60" s="11">
        <v>43807</v>
      </c>
      <c r="C60" s="10">
        <f>C10+C20+C30+C40+C50</f>
        <v>188.96773490701983</v>
      </c>
      <c r="D60" s="12"/>
    </row>
    <row r="61" spans="1:15" x14ac:dyDescent="0.3">
      <c r="A61" s="9" t="s">
        <v>20</v>
      </c>
      <c r="B61" s="8">
        <v>43808</v>
      </c>
      <c r="C61" s="9">
        <f t="shared" ref="C61:C62" si="1">C11+C21+C31+C41+C51</f>
        <v>189.76488892136982</v>
      </c>
      <c r="D61" s="6"/>
    </row>
    <row r="62" spans="1:15" x14ac:dyDescent="0.3">
      <c r="A62" s="21" t="s">
        <v>20</v>
      </c>
      <c r="B62" s="22">
        <v>43809</v>
      </c>
      <c r="C62" s="21">
        <f t="shared" si="1"/>
        <v>191.04141282236401</v>
      </c>
      <c r="D62" s="23"/>
    </row>
    <row r="63" spans="1:15" x14ac:dyDescent="0.3">
      <c r="C63" s="4"/>
      <c r="D63" s="4"/>
    </row>
    <row r="64" spans="1:15" x14ac:dyDescent="0.3">
      <c r="C64" s="35"/>
      <c r="D64" s="7"/>
      <c r="E64" s="7"/>
    </row>
  </sheetData>
  <mergeCells count="9">
    <mergeCell ref="L8:M8"/>
    <mergeCell ref="L9:M9"/>
    <mergeCell ref="A1:S1"/>
    <mergeCell ref="F2:G2"/>
    <mergeCell ref="I2:J2"/>
    <mergeCell ref="L2:M2"/>
    <mergeCell ref="O2:P2"/>
    <mergeCell ref="R2:S2"/>
    <mergeCell ref="E3:E12"/>
  </mergeCells>
  <conditionalFormatting sqref="D3:D51">
    <cfRule type="cellIs" dxfId="7" priority="43" operator="lessThan">
      <formula>0</formula>
    </cfRule>
    <cfRule type="cellIs" dxfId="6" priority="44" operator="greaterThan">
      <formula>0</formula>
    </cfRule>
  </conditionalFormatting>
  <conditionalFormatting sqref="D52">
    <cfRule type="cellIs" dxfId="5" priority="39" operator="lessThan">
      <formula>0</formula>
    </cfRule>
    <cfRule type="cellIs" dxfId="4" priority="40" operator="greaterThan">
      <formula>0</formula>
    </cfRule>
  </conditionalFormatting>
  <conditionalFormatting sqref="D54:D61">
    <cfRule type="cellIs" dxfId="3" priority="33" operator="lessThan">
      <formula>0</formula>
    </cfRule>
    <cfRule type="cellIs" dxfId="2" priority="34" operator="greaterThan">
      <formula>0</formula>
    </cfRule>
  </conditionalFormatting>
  <conditionalFormatting sqref="D62">
    <cfRule type="cellIs" dxfId="1" priority="31" operator="lessThan">
      <formula>0</formula>
    </cfRule>
    <cfRule type="cellIs" dxfId="0" priority="32" operator="greaterThan">
      <formula>0</formula>
    </cfRule>
  </conditionalFormatting>
  <dataValidations count="2">
    <dataValidation type="list" allowBlank="1" showInputMessage="1" showErrorMessage="1" sqref="F9" xr:uid="{60D16E2A-A2B1-4DE0-B7F6-B77BC1408DEB}">
      <formula1>"90, 95, 99"</formula1>
    </dataValidation>
    <dataValidation type="list" allowBlank="1" showInputMessage="1" showErrorMessage="1" sqref="F24" xr:uid="{3582191D-EF36-4294-BABB-67B207F17672}">
      <formula1>"None, 1, 2, 3, 4, 5"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5" r:id="rId4" name="CommandButton2">
          <controlPr defaultSize="0" autoLine="0" r:id="rId5">
            <anchor moveWithCells="1">
              <from>
                <xdr:col>4</xdr:col>
                <xdr:colOff>601980</xdr:colOff>
                <xdr:row>16</xdr:row>
                <xdr:rowOff>53340</xdr:rowOff>
              </from>
              <to>
                <xdr:col>7</xdr:col>
                <xdr:colOff>144780</xdr:colOff>
                <xdr:row>18</xdr:row>
                <xdr:rowOff>99060</xdr:rowOff>
              </to>
            </anchor>
          </controlPr>
        </control>
      </mc:Choice>
      <mc:Fallback>
        <control shapeId="2065" r:id="rId4" name="CommandButton2"/>
      </mc:Fallback>
    </mc:AlternateContent>
    <mc:AlternateContent xmlns:mc="http://schemas.openxmlformats.org/markup-compatibility/2006">
      <mc:Choice Requires="x14">
        <control shapeId="2064" r:id="rId6" name="CommandButton1">
          <controlPr defaultSize="0" autoLine="0" r:id="rId7">
            <anchor moveWithCells="1">
              <from>
                <xdr:col>4</xdr:col>
                <xdr:colOff>601980</xdr:colOff>
                <xdr:row>11</xdr:row>
                <xdr:rowOff>45720</xdr:rowOff>
              </from>
              <to>
                <xdr:col>7</xdr:col>
                <xdr:colOff>144780</xdr:colOff>
                <xdr:row>15</xdr:row>
                <xdr:rowOff>114300</xdr:rowOff>
              </to>
            </anchor>
          </controlPr>
        </control>
      </mc:Choice>
      <mc:Fallback>
        <control shapeId="2064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36</vt:i4>
      </vt:variant>
    </vt:vector>
  </HeadingPairs>
  <TitlesOfParts>
    <vt:vector size="37" baseType="lpstr">
      <vt:lpstr>MarketData</vt:lpstr>
      <vt:lpstr>DATE_1</vt:lpstr>
      <vt:lpstr>DATE_10</vt:lpstr>
      <vt:lpstr>DATE_2</vt:lpstr>
      <vt:lpstr>DATE_3</vt:lpstr>
      <vt:lpstr>DATE_4</vt:lpstr>
      <vt:lpstr>DATE_5</vt:lpstr>
      <vt:lpstr>DATE_6</vt:lpstr>
      <vt:lpstr>DATE_7</vt:lpstr>
      <vt:lpstr>DATE_8</vt:lpstr>
      <vt:lpstr>DATE_9</vt:lpstr>
      <vt:lpstr>DATES</vt:lpstr>
      <vt:lpstr>EX_1ST</vt:lpstr>
      <vt:lpstr>EX_2ND</vt:lpstr>
      <vt:lpstr>EX_3RD</vt:lpstr>
      <vt:lpstr>EX_4TH</vt:lpstr>
      <vt:lpstr>EX_5TH</vt:lpstr>
      <vt:lpstr>EXCLUDED_ASSET</vt:lpstr>
      <vt:lpstr>INSTRUMENT_1</vt:lpstr>
      <vt:lpstr>INSTRUMENT_2</vt:lpstr>
      <vt:lpstr>INSTRUMENT_3</vt:lpstr>
      <vt:lpstr>INSTRUMENT_4</vt:lpstr>
      <vt:lpstr>INSTRUMENT_5</vt:lpstr>
      <vt:lpstr>OUTPUT_1</vt:lpstr>
      <vt:lpstr>OUTPUT_2</vt:lpstr>
      <vt:lpstr>OUTPUT_3</vt:lpstr>
      <vt:lpstr>OUTPUT_4</vt:lpstr>
      <vt:lpstr>OUTPUT_5</vt:lpstr>
      <vt:lpstr>OUTPUT_RETURNS</vt:lpstr>
      <vt:lpstr>PERCENTILE</vt:lpstr>
      <vt:lpstr>PNL_EX1</vt:lpstr>
      <vt:lpstr>PNL_EX2</vt:lpstr>
      <vt:lpstr>PNL_EX3</vt:lpstr>
      <vt:lpstr>PNL_EX4</vt:lpstr>
      <vt:lpstr>PNL_EX5</vt:lpstr>
      <vt:lpstr>PORT_VALUE</vt:lpstr>
      <vt:lpstr>PORT_VAR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2020-01-15T11:08:26Z</dcterms:modified>
</cp:coreProperties>
</file>